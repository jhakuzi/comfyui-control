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verview" sheetId="1" r:id="rId1"/>
    <sheet name="Tonight" sheetId="2" r:id="rId2"/>
    <sheet name="Before 1.0" sheetId="3" r:id="rId3"/>
    <sheet name="Issues" sheetId="4" r:id="rId4"/>
  </sheets>
  <definedNames>
    <definedName name="_xlnm.Print_Area" localSheetId="2">'Before 1.0'!$A$6:$I$22</definedName>
    <definedName name="_xlnm.Print_Area" localSheetId="3">Issues!$A$6:$J$36</definedName>
    <definedName name="_xlnm.Print_Area" localSheetId="0">Overview!$B$2:$H$38</definedName>
    <definedName name="_xlnm.Print_Area" localSheetId="1">Tonight!$A$6:$I$20</definedName>
    <definedName name="_xlnm.Print_Titles" localSheetId="2">'Before 1.0'!$6:$6</definedName>
    <definedName name="_xlnm.Print_Titles" localSheetId="3">Issues!$6:$6</definedName>
    <definedName name="_xlnm.Print_Titles" localSheetId="1">Tonight!$6:$6</definedName>
  </definedNames>
  <calcPr calcId="124519" fullCalcOnLoad="1"/>
</workbook>
</file>

<file path=xl/sharedStrings.xml><?xml version="1.0" encoding="utf-8"?>
<sst xmlns="http://schemas.openxmlformats.org/spreadsheetml/2006/main" count="226" uniqueCount="156">
  <si>
    <t>COMFYUI CONTROL | Road to 1.0</t>
  </si>
  <si>
    <t>Manual test log · planned 18 October 2026 · Europe/Berlin</t>
  </si>
  <si>
    <t>1  Record the exact setup you test</t>
  </si>
  <si>
    <t>App version / commit</t>
  </si>
  <si>
    <t>0.11.2.dev6 / 6bd3728</t>
  </si>
  <si>
    <t>Branch / install type</t>
  </si>
  <si>
    <t>testing/nfs-output · fill in: venv / ZIP / RPM</t>
  </si>
  <si>
    <t>Actual test date / tester</t>
  </si>
  <si>
    <t>Fedora / Plasma version</t>
  </si>
  <si>
    <t>ComfyUI version / Python</t>
  </si>
  <si>
    <t>GPU / driver / ROCm or CUDA</t>
  </si>
  <si>
    <t>iPhone / iOS / browser</t>
  </si>
  <si>
    <t>NAS / export / NFS version</t>
  </si>
  <si>
    <t>Local output / workflow names</t>
  </si>
  <si>
    <t>2  Start with Tonight; filter Status to find unfinished tests</t>
  </si>
  <si>
    <t>Work through Tonight in order. Before 1.0 contains packaging checks and the broader regression pass; some need a release-candidate RPM later.</t>
  </si>
  <si>
    <t>Use the Status dropdown. Record what actually happened, plus the image filename, exact error, screenshot/log reference and issue ID. A successful automated test is not a manual Pass.</t>
  </si>
  <si>
    <t>Pass means the expected result was observed. Fail = wrong behavior; Blocked = cannot perform the test yet; Not applicable = explain why. All tests start at Not run.</t>
  </si>
  <si>
    <t>If a test fails, add a row on Issues. After a fix, record the new build/date and retest result; retain the original failure notes.</t>
  </si>
  <si>
    <t>Run NAS outage tests on a test export when safe for its other users. Restore the NAS first if an NFS save waits. Existing fallback files require manual upload.</t>
  </si>
  <si>
    <t>3  Progress — all manual results are initially untested</t>
  </si>
  <si>
    <t>Plan</t>
  </si>
  <si>
    <t>Tests</t>
  </si>
  <si>
    <t>Pass</t>
  </si>
  <si>
    <t>Fail</t>
  </si>
  <si>
    <t>Blocked</t>
  </si>
  <si>
    <t>Not run</t>
  </si>
  <si>
    <t>N/A</t>
  </si>
  <si>
    <t>Tonight</t>
  </si>
  <si>
    <t>Before 1.0</t>
  </si>
  <si>
    <t>4  Release review</t>
  </si>
  <si>
    <t>Required tests remaining</t>
  </si>
  <si>
    <t>Open critical/high issues</t>
  </si>
  <si>
    <t>1.0 review: every Required test passes; Conditional checks are tested when applicable or have a reason recorded. Review every failure and accepted limitation. No unresolved critical/high issue. The summary is a review aid, not automatic release approval.</t>
  </si>
  <si>
    <t>Start Tonight →</t>
  </si>
  <si>
    <t>Record an issue →</t>
  </si>
  <si>
    <t>TONIGHT | Manual test cases</t>
  </si>
  <si>
    <t>Start here: real NAS mount/saves, local fallback, mobile gallery and phone recovery. Run T14 last.</t>
  </si>
  <si>
    <t>Edit blue cells. For each test, select a status and record an actual result; link failures to Issues. Keep the original failure when adding a retest result.</t>
  </si>
  <si>
    <t>Overview</t>
  </si>
  <si>
    <t>ID</t>
  </si>
  <si>
    <t>Priority</t>
  </si>
  <si>
    <t>Status</t>
  </si>
  <si>
    <t>Test</t>
  </si>
  <si>
    <t>Steps and expected result</t>
  </si>
  <si>
    <t>Actual result / notes</t>
  </si>
  <si>
    <t>Evidence / issue ID</t>
  </si>
  <si>
    <t>Retest: build, date, result</t>
  </si>
  <si>
    <t>Tested on</t>
  </si>
  <si>
    <t>T01</t>
  </si>
  <si>
    <t>Required</t>
  </si>
  <si>
    <t>Baseline: existing installation</t>
  </si>
  <si>
    <t>STEPS
Fill in Overview. Launch the testing app, select your existing installation and saved workflow, then start ComfyUI.
EXPECTED
Existing settings, launch flags, workflow mappings and models remain intact. Desktop stays responsive and ComfyUI starts normally.</t>
  </si>
  <si>
    <t>T02</t>
  </si>
  <si>
    <t>Conditional</t>
  </si>
  <si>
    <t>NFS client installation offer</t>
  </si>
  <si>
    <t>STEPS
Click Set up mount. If NFS tools are absent, first cancel the install offer, then accept it, complete installation in the terminal and click Set up mount again. Do not uninstall working NFS tools just to test this.
EXPECTED
Missing tools produce an optional install offer with the correct package. Cancel retains local fallback. Installed tools skip the offer. Installation and authorization finish in the terminal without freezing the app. If already installed, mark Not applicable and say why.</t>
  </si>
  <si>
    <t>T03</t>
  </si>
  <si>
    <t>Real NAS mount and write permission</t>
  </si>
  <si>
    <t>STEPS
Stop ComfyUI. Enable Network output, enter the NAS and export, save, then Set up mount. Review and authorize setup. Wait for the connection result.
EXPECTED
Network output becomes ready after an actual user write check. No repeated administrator prompt on normal startup. Record the mount location and any permission error.</t>
  </si>
  <si>
    <t>T04</t>
  </si>
  <si>
    <t>Desktop generation saves to NAS</t>
  </si>
  <si>
    <t>STEPS
With network output ready, start ComfyUI and generate a small image from your usual desktop workflow. Use a new seed and identifiable prompt. Check the NAS itself and Open output folder.
EXPECTED
The completed image really exists on the NAS with the expected name/time and opens correctly. A thumbnail alone is not proof that the file was saved to the right location.</t>
  </si>
  <si>
    <t>T05</t>
  </si>
  <si>
    <t>Mobile gallery reads NAS images</t>
  </si>
  <si>
    <t>STEPS
Scan the QR on your iPhone. Open Gallery, locate T04, view it full-size, open Details and save/download it. Refresh the page and repeat opening it.
EXPECTED
The NAS image loads in the gallery and full-size viewer, downloads successfully and remains accessible after refresh. Details show available metadata without invented values.</t>
  </si>
  <si>
    <t>T06</t>
  </si>
  <si>
    <t>Mobile generates usual custom workflow</t>
  </si>
  <si>
    <t>STEPS
Use your existing GGUF / LoRA / upscaling preset. Change the prompt and supported settings, Generate twice with randomize enabled, and inspect the output files on the NAS.
EXPECTED
Model preparation is visible before sampling; progress and the completed image appear. Repeated randomized submissions generate new work. Custom nodes, model choices, LoRAs and upscaling work; the original saved workflow is unchanged.</t>
  </si>
  <si>
    <t>T07</t>
  </si>
  <si>
    <t>NAS unavailable at app startup</t>
  </si>
  <si>
    <t>STEPS
Stop ComfyUI and close the app. Make only the test export unavailable, then relaunch the app. Record the time to a usable window and the eventual error. Restore the NAS after T09.
EXPECTED
The desktop opens without waiting for the NAS. The background check ends with an understandable error and local-fallback/manual-upload warning. The app stays usable; it does not claim the mount is ready.</t>
  </si>
  <si>
    <t>T08</t>
  </si>
  <si>
    <t>Fallback saves to ComfyUI/output</t>
  </si>
  <si>
    <t>STEPS
While the NAS is still unavailable, start ComfyUI and generate an image. Check the selected installation’s local output folder and Open output folder.
EXPECTED
A real file is saved under this installation’s ComfyUI/output. It is not written to the unmounted /mnt directory. The warning names the local folder and says to upload these images manually.</t>
  </si>
  <si>
    <t>T09</t>
  </si>
  <si>
    <t>Mobile follows local fallback</t>
  </si>
  <si>
    <t>STEPS
Keep the fallback run active. On the phone, open Gallery and the T08 image, download it and refresh. Check both Create and Gallery for the warning.
EXPECTED
The mobile gallery reads the local fallback folder and the image opens/downloads. The mount error and manual-upload reminder are visible and survive refresh. Seeing only the old NAS thumbnails is not a pass.</t>
  </si>
  <si>
    <t>T10</t>
  </si>
  <si>
    <t>NAS recovery and deliberate switching</t>
  </si>
  <si>
    <t>STEPS
Restore the NAS and Retry network while ComfyUI still uses fallback. Generate once more. Then manually restart ComfyUI and generate again; check both locations.
EXPECTED
A successful retry does not redirect a running server. The first new file stays local; after restart the next is saved to NFS. Fallback files remain local for manual upload; no automatic copy or silent destination change occurs.</t>
  </si>
  <si>
    <t>T11</t>
  </si>
  <si>
    <t>Automatic connection after app restart</t>
  </si>
  <si>
    <t>STEPS
With the NAS available and Connect when app starts enabled, stop ComfyUI, quit completely, relaunch and wait for readiness before starting it again. Generate and open the image on the phone.
EXPECTED
Saved mount settings reconnect in the background without a new setup authorization. New output is on the NAS and mobile uses the same destination. Settings and the chosen workflow are preserved.</t>
  </si>
  <si>
    <t>T12</t>
  </si>
  <si>
    <t>iPhone lock, VPN loss and reconnection</t>
  </si>
  <si>
    <t>STEPS
Start a mobile generation. Lock the phone for several minutes, then unlock. Repeat with a short VPN/network interruption and a refresh; retain an unsent prompt edit during recovery.
EXPECTED
The existing job resumes live progress if still running, or shows its completed images if finished. No duplicate job is submitted. The unsent edit and selected workflow/settings survive. If VPN is unavailable tonight, record the missing part and leave this Blocked.</t>
  </si>
  <si>
    <t>T13</t>
  </si>
  <si>
    <t>Tray, restore and complete shutdown</t>
  </si>
  <si>
    <t>STEPS
During generation, close the desktop window and choose Keep in tray. Check phone progress, restore the window, then Stop ComfyUI. Finally Quit completely from the tray.
EXPECTED
Keeping in tray preserves generation and mobile access. Restore brings back the same window. Stop confirms owned processes stopped. Complete Quit stops owned children and the mobile listener; the app is not left hidden.</t>
  </si>
  <si>
    <t>T14</t>
  </si>
  <si>
    <t>NAS outage during active generation</t>
  </si>
  <si>
    <t>STEPS
Run last, using a test export when safe for other NAS users. Start an NFS-backed generation, temporarily make the export unreachable, click Retry network, and check desktop/mobile responsiveness. Restore the NAS before trying to finish shutdown or retrying.
EXPECTED
The app stays responsive and the failed retry reports the error. It explains that the active server still targets NFS and needs a manual restart for fallback. A hard-mounted save may wait or fail until the NAS returns; transparent redirection is NOT expected. Record the exact outcome and recovery.</t>
  </si>
  <si>
    <t>BEFORE 1.0 | Manual test cases</t>
  </si>
  <si>
    <t>Follow-up checks: packaging plus existing functionality. R01 needs a release-candidate RPM; no build is requested by this workbook.</t>
  </si>
  <si>
    <t>R01</t>
  </si>
  <si>
    <t>Upgrade from stable RPM — release candidate</t>
  </si>
  <si>
    <t>STEPS
After an actual release-candidate RPM exists, record the installed stable version and back up the app’s settings. Upgrade using the intended package path, launch and check saved configuration. This check does not request a build now.
EXPECTED
Package installs/upgrades cleanly and the app starts. Existing installation paths, presets/mappings, mobile settings, history and recovery state are preserved. Record the RPM version and exact command used.</t>
  </si>
  <si>
    <t>R02</t>
  </si>
  <si>
    <t>Fresh app install and first-run setup</t>
  </si>
  <si>
    <t>STEPS
Use a clean test user/profile or disposable environment. Install the candidate package or test download. Choose an existing ComfyUI installation and test Start/Stop.
EXPECTED
No developer checkout, screenshots or test dependencies are needed. First-run setup works, the app/menu icon is present and normal user permissions are sufficient for running the app.</t>
  </si>
  <si>
    <t>R03</t>
  </si>
  <si>
    <t>Install ComfyUI into a new environment</t>
  </si>
  <si>
    <t>STEPS
Use a new disposable path, not your working ComfyUI directory. In first-run setup choose Install with Comfy CLI, select Python and click Install ComfyUI. Complete the terminal prompts.
EXPECTED
The existing Python 3 interpreter is usable, a separate environment is created, and the completed installation can be selected. Existing installations are not overwritten. Model/driver setup remains explicit.</t>
  </si>
  <si>
    <t>R04</t>
  </si>
  <si>
    <t>NFS disabled preserves normal output</t>
  </si>
  <si>
    <t>STEPS
Disable Network output, select a normal local output folder or your previous custom folder, then start ComfyUI and generate. Open output and the phone gallery.
EXPECTED
Normal output behavior returns on the new run. The intended local/custom folder is used by the desktop and mobile. The NFS warning is hidden; existing local settings have not been erased.</t>
  </si>
  <si>
    <t>R05</t>
  </si>
  <si>
    <t>Generated and existing launch scripts</t>
  </si>
  <si>
    <t>STEPS
Create a test launch script using your existing environment and flags, then launch it. Also inspect your current existing-script configuration and launch it with NFS enabled if it forwards "$@".
EXPECTED
Generated scripts use valid Bash. Flag selections match the script, arguments are retained and the selected output path is supplied correctly. An incompatible existing script shows an understandable error rather than silently using the wrong destination.</t>
  </si>
  <si>
    <t>R06</t>
  </si>
  <si>
    <t>Git update method</t>
  </si>
  <si>
    <t>STEPS
Use a disposable ComfyUI checkout for update testing. Select Git, review the update settings and run an update. Repeat with local tracked/untracked changes if practical.
EXPECTED
The chosen Git method runs as described. Local changes stop the update safely; nothing is discarded. Logs explain what happened. Normal ComfyUI start/stop remains usable afterward.</t>
  </si>
  <si>
    <t>R07</t>
  </si>
  <si>
    <t>Comfy CLI update method</t>
  </si>
  <si>
    <t>STEPS
Use an intended/disposable ComfyUI environment. Choose its environment folder/Python, select Comfy CLI and run Update. Inspect the command and working directory in the log.
EXPECTED
The correct environment’s comfy update runs against the intended workspace, with clear errors if CLI/environment is unavailable. It does not silently use the Git update method.</t>
  </si>
  <si>
    <t>R08</t>
  </si>
  <si>
    <t>Workflow/model/settings compatibility</t>
  </si>
  <si>
    <t>STEPS
Load at least two representative saved workflows or API exports. Check GGUF diffusion model, VAE, text encoder, multiple LoRAs and supported sampler/CFG/steps/resolution controls. Compare the original workflow file before and after.
EXPECTED
Only mapped literal inputs are changed in submitted copies. Unknown nodes/connections and LoRA defaults are preserved. Unsupported mappings give an understandable error; original workflow files are unchanged.</t>
  </si>
  <si>
    <t>R09</t>
  </si>
  <si>
    <t>Random and fixed seeds; cancel target</t>
  </si>
  <si>
    <t>STEPS
Generate twice with default randomization, then uncheck it and repeat a fixed seed. Queue jobs from two browser identities and cancel one owned pending/running job where supported.
EXPECTED
Randomization is checked by default. Fixed-seed reuse is deliberate and may complete instantly through ComfyUI caching. Cancelling targets the correct job and never interrupts another client’s generation; unsupported targeted cancellation is explained.</t>
  </si>
  <si>
    <t>R10</t>
  </si>
  <si>
    <t>Gallery deletion, comparison and poor connection</t>
  </si>
  <si>
    <t>STEPS
From the PC delete a disposable output image, then check/refresh Gallery. Compare two other images, scroll far down, swap A/B and close on iPhone. Repeat after both images load and the connection becomes briefly poor.
EXPECTED
Deleted images disappear after synchronization/refresh. Selection/Compare controls and Close remain reachable on the phone. Both comparison images are prepared before use and can be manipulated from the existing in-memory cache. Connection failures can be retried without losing the selection.</t>
  </si>
  <si>
    <t>R11</t>
  </si>
  <si>
    <t>Prompt history, favorites and image details</t>
  </si>
  <si>
    <t>STEPS
Submit a prompt with a negative prompt, favorite it, search/reuse it, refresh and reopen the app. Inspect generated and directly saved metadata-bearing images; reuse generation settings.
EXPECTED
History deduplicates identical prompts, positive/negative prompts stay paired, favorites persist, and reuse does not auto-submit. Details show only available values and exact seeds. Comparison and generation reuse still work.</t>
  </si>
  <si>
    <t>R12</t>
  </si>
  <si>
    <t>Optional password and client privacy</t>
  </si>
  <si>
    <t>STEPS
Test mobile with password disabled, then enable it and test a fresh browser login. Use two separate browser profiles/private sessions to inspect each client’s jobs, drafts/history and image details.
EXPECTED
Password is optional; when enabled, a fresh client must authenticate. Client histories, active-job state and private generation metadata do not mix. A shared output image may still be visible, but another mobile client’s private metadata is restricted. Displayed QR/URL has no password.</t>
  </si>
  <si>
    <t>R13</t>
  </si>
  <si>
    <t>Phone reconnect after desktop app restart</t>
  </si>
  <si>
    <t>STEPS
Complete a mobile job and leave an unsent draft. Quit and reopen the desktop app, restart ComfyUI if needed, then reopen the mobile page. Inspect recent jobs/images, settings and history.
EXPECTED
The browser reconnects without duplicate submission and restores its recent jobs, completed images and saved draft/settings as supported by the same output scope. The app never implies a killed in-flight server job continued running after a full Quit.</t>
  </si>
  <si>
    <t>R14</t>
  </si>
  <si>
    <t>Useful</t>
  </si>
  <si>
    <t>Desktop layout, appearance and monitoring</t>
  </si>
  <si>
    <t>STEPS
Resize the main window, expand/collapse monitoring and select an available application style. Watch desktop/mobile stats during sampling, then hide/minimize/restore the window.
EXPECTED
Buttons and labels remain readable; the terminal stays usable. Monitoring does not stall the UI. Missing metrics show --. Style choice persists and unavailable styles fall back cleanly.</t>
  </si>
  <si>
    <t>R15</t>
  </si>
  <si>
    <t>Crash diagnostics and restart recovery</t>
  </si>
  <si>
    <t>STEPS
Use a disposable app-owned server process, with recovery explicitly enabled. Simulate an abnormal exit, inspect/export diagnostics and test recovery/cancel. Also perform an ordinary Stop.
EXPECTED
Unexpected exits are recorded and recovery honors its configured limits. A manual Stop does not trigger recovery. Export avoids credentials/secrets and normal shutdown still completes.</t>
  </si>
  <si>
    <t>R16</t>
  </si>
  <si>
    <t>LAN, VPN and website/PWA presentation</t>
  </si>
  <si>
    <t>STEPS
Open the displayed URL/QR from LAN and VPN on iPhone, rotate the screen, use the larger prompt editor and reopen from the home screen if you use it.
EXPECTED
The configured reachable address works without localhost assumptions. Touch controls fit the screen and drafts survive expand/collapse. The ordinary website works over HTTP; full service-worker/PWA behavior is only expected in a secure context.</t>
  </si>
  <si>
    <t>ISSUES | Keep the evidence, then retest</t>
  </si>
  <si>
    <t>Create one issue per problem. Reference the Test ID and exact build, then paste the error or screenshot/log filename. All rows are blank until you find something.</t>
  </si>
  <si>
    <t>Critical: data loss/security/unusable app. High: core generation, NFS/fallback or recovery fails. Medium: workaround exists. Low: cosmetic. Close only after retesting.</t>
  </si>
  <si>
    <t>Issue ID</t>
  </si>
  <si>
    <t>Test ID(s)</t>
  </si>
  <si>
    <t>Severity</t>
  </si>
  <si>
    <t>Problem summary</t>
  </si>
  <si>
    <t>Reproduction steps</t>
  </si>
  <si>
    <t>Expected behavior</t>
  </si>
  <si>
    <t>Actual behavior / exact error</t>
  </si>
  <si>
    <t>Evidence reference</t>
  </si>
  <si>
    <t>Fix build / retest / date</t>
  </si>
</sst>
</file>

<file path=xl/styles.xml><?xml version="1.0" encoding="utf-8"?>
<styleSheet xmlns="http://schemas.openxmlformats.org/spreadsheetml/2006/main">
  <fonts count="12">
    <font>
      <sz val="11"/>
      <color theme="1"/>
      <name val="Calibri"/>
      <family val="2"/>
      <scheme val="minor"/>
    </font>
    <font>
      <b/>
      <sz val="22"/>
      <color rgb="FFFFFFFF"/>
      <name val="Calibri"/>
      <family val="2"/>
      <scheme val="minor"/>
    </font>
    <font>
      <sz val="11"/>
      <color rgb="FF526677"/>
      <name val="Calibri"/>
      <family val="2"/>
      <scheme val="minor"/>
    </font>
    <font>
      <b/>
      <sz val="12"/>
      <color rgb="FF0E716E"/>
      <name val="Calibri"/>
      <family val="2"/>
      <scheme val="minor"/>
    </font>
    <font>
      <b/>
      <sz val="11"/>
      <color rgb="FF172A3A"/>
      <name val="Calibri"/>
      <family val="2"/>
      <scheme val="minor"/>
    </font>
    <font>
      <sz val="11"/>
      <color rgb="FF1760A5"/>
      <name val="Calibri"/>
      <family val="2"/>
      <scheme val="minor"/>
    </font>
    <font>
      <sz val="11"/>
      <color rgb="FF263A49"/>
      <name val="Calibri"/>
      <family val="2"/>
      <scheme val="minor"/>
    </font>
    <font>
      <b/>
      <sz val="11"/>
      <color rgb="FFFFFFFF"/>
      <name val="Calibri"/>
      <family val="2"/>
      <scheme val="minor"/>
    </font>
    <font>
      <u/>
      <sz val="11"/>
      <color rgb="FF1760A5"/>
      <name val="Calibri"/>
      <family val="2"/>
      <scheme val="minor"/>
    </font>
    <font>
      <b/>
      <sz val="20"/>
      <color rgb="FF0E716E"/>
      <name val="Calibri"/>
      <family val="2"/>
      <scheme val="minor"/>
    </font>
    <font>
      <b/>
      <sz val="13"/>
      <color rgb="FF9A540D"/>
      <name val="Calibri"/>
      <family val="2"/>
      <scheme val="minor"/>
    </font>
    <font>
      <b/>
      <sz val="11"/>
      <color rgb="FF1760A5"/>
      <name val="Calibri"/>
      <family val="2"/>
      <scheme val="minor"/>
    </font>
  </fonts>
  <fills count="7">
    <fill>
      <patternFill patternType="none"/>
    </fill>
    <fill>
      <patternFill patternType="gray125"/>
    </fill>
    <fill>
      <patternFill patternType="solid">
        <fgColor rgb="FF172A3A"/>
        <bgColor indexed="64"/>
      </patternFill>
    </fill>
    <fill>
      <patternFill patternType="solid">
        <fgColor rgb="FFDFEFED"/>
        <bgColor indexed="64"/>
      </patternFill>
    </fill>
    <fill>
      <patternFill patternType="solid">
        <fgColor rgb="FFF0F6FF"/>
        <bgColor indexed="64"/>
      </patternFill>
    </fill>
    <fill>
      <patternFill patternType="solid">
        <fgColor rgb="FFF0F6F5"/>
        <bgColor indexed="64"/>
      </patternFill>
    </fill>
    <fill>
      <patternFill patternType="solid">
        <fgColor rgb="FFFFF3E1"/>
        <bgColor indexed="64"/>
      </patternFill>
    </fill>
  </fills>
  <borders count="3">
    <border>
      <left/>
      <right/>
      <top/>
      <bottom/>
      <diagonal/>
    </border>
    <border>
      <left style="thin">
        <color rgb="FFD7E3F1"/>
      </left>
      <right style="thin">
        <color rgb="FFD7E3F1"/>
      </right>
      <top style="thin">
        <color rgb="FFD7E3F1"/>
      </top>
      <bottom style="thin">
        <color rgb="FFD7E3F1"/>
      </bottom>
      <diagonal/>
    </border>
    <border>
      <left style="thin">
        <color rgb="FFE1E7EB"/>
      </left>
      <right style="thin">
        <color rgb="FFE1E7EB"/>
      </right>
      <top style="thin">
        <color rgb="FFE1E7EB"/>
      </top>
      <bottom style="thin">
        <color rgb="FFE1E7EB"/>
      </bottom>
      <diagonal/>
    </border>
  </borders>
  <cellStyleXfs count="1">
    <xf numFmtId="0" fontId="0" fillId="0" borderId="0"/>
  </cellStyleXfs>
  <cellXfs count="13">
    <xf numFmtId="0" fontId="0" fillId="0" borderId="0" xfId="0"/>
    <xf numFmtId="0" fontId="1" fillId="2" borderId="0" xfId="0" applyFont="1" applyFill="1" applyAlignment="1">
      <alignment vertical="center"/>
    </xf>
    <xf numFmtId="0" fontId="2" fillId="0" borderId="0" xfId="0" applyFont="1" applyAlignment="1">
      <alignment vertical="center" wrapText="1"/>
    </xf>
    <xf numFmtId="0" fontId="3" fillId="3" borderId="0" xfId="0" applyFont="1" applyFill="1" applyAlignment="1">
      <alignment vertical="center"/>
    </xf>
    <xf numFmtId="0" fontId="4" fillId="0" borderId="0" xfId="0" applyFont="1" applyAlignment="1">
      <alignment vertical="top" wrapText="1"/>
    </xf>
    <xf numFmtId="0" fontId="5" fillId="4" borderId="1" xfId="0" applyFont="1" applyFill="1" applyBorder="1" applyAlignment="1">
      <alignment vertical="top" wrapText="1"/>
    </xf>
    <xf numFmtId="0" fontId="6" fillId="0" borderId="0" xfId="0" applyFont="1" applyAlignment="1">
      <alignment vertical="top" wrapText="1"/>
    </xf>
    <xf numFmtId="0" fontId="7" fillId="2" borderId="0" xfId="0" applyFont="1" applyFill="1" applyAlignment="1">
      <alignment vertical="center" wrapText="1"/>
    </xf>
    <xf numFmtId="0" fontId="8" fillId="0" borderId="0" xfId="0" applyFont="1" applyAlignment="1">
      <alignment vertical="center" wrapText="1"/>
    </xf>
    <xf numFmtId="0" fontId="9" fillId="5" borderId="0" xfId="0" applyFont="1" applyFill="1" applyAlignment="1">
      <alignment horizontal="center" vertical="center"/>
    </xf>
    <xf numFmtId="0" fontId="10" fillId="6" borderId="0" xfId="0" applyFont="1" applyFill="1" applyAlignment="1">
      <alignment vertical="center" wrapText="1"/>
    </xf>
    <xf numFmtId="0" fontId="6" fillId="0" borderId="2" xfId="0" applyFont="1" applyBorder="1" applyAlignment="1">
      <alignment vertical="top" wrapText="1"/>
    </xf>
    <xf numFmtId="0" fontId="11" fillId="4" borderId="1" xfId="0" applyFont="1" applyFill="1" applyBorder="1" applyAlignment="1">
      <alignment vertical="top" wrapText="1"/>
    </xf>
  </cellXfs>
  <cellStyles count="1">
    <cellStyle name="Normal" xfId="0" builtinId="0"/>
  </cellStyles>
  <dxfs count="8">
    <dxf>
      <font>
        <color rgb="FF263A49"/>
      </font>
      <border>
        <left style="thin">
          <color rgb="FFE1E7EB"/>
        </left>
        <right style="thin">
          <color rgb="FFE1E7EB"/>
        </right>
        <top style="thin">
          <color rgb="FFE1E7EB"/>
        </top>
        <bottom style="thin">
          <color rgb="FFE1E7EB"/>
        </bottom>
        <vertical/>
        <horizontal/>
      </border>
    </dxf>
    <dxf>
      <font>
        <b/>
        <color rgb="FF1760A5"/>
      </font>
      <fill>
        <patternFill>
          <bgColor rgb="FFF0F6FF"/>
        </patternFill>
      </fill>
      <border>
        <left style="thin">
          <color rgb="FFD7E3F1"/>
        </left>
        <right style="thin">
          <color rgb="FFD7E3F1"/>
        </right>
        <top style="thin">
          <color rgb="FFD7E3F1"/>
        </top>
        <bottom style="thin">
          <color rgb="FFD7E3F1"/>
        </bottom>
        <vertical/>
        <horizontal/>
      </border>
    </dxf>
    <dxf>
      <font>
        <color rgb="FF1760A5"/>
      </font>
      <fill>
        <patternFill>
          <bgColor rgb="FFF0F6FF"/>
        </patternFill>
      </fill>
      <border>
        <left style="thin">
          <color rgb="FFD7E3F1"/>
        </left>
        <right style="thin">
          <color rgb="FFD7E3F1"/>
        </right>
        <top style="thin">
          <color rgb="FFD7E3F1"/>
        </top>
        <bottom style="thin">
          <color rgb="FFD7E3F1"/>
        </bottom>
        <vertical/>
        <horizontal/>
      </border>
    </dxf>
    <dxf>
      <font>
        <b/>
        <color rgb="FF526677"/>
      </font>
      <fill>
        <patternFill>
          <bgColor rgb="FFEDF1F4"/>
        </patternFill>
      </fill>
    </dxf>
    <dxf>
      <font>
        <b/>
        <color rgb="FF176C3B"/>
      </font>
      <fill>
        <patternFill>
          <bgColor rgb="FFDFF1E5"/>
        </patternFill>
      </fill>
    </dxf>
    <dxf>
      <font>
        <b/>
        <color rgb="FF9E2823"/>
      </font>
      <fill>
        <patternFill>
          <bgColor rgb="FFFBE4E2"/>
        </patternFill>
      </fill>
    </dxf>
    <dxf>
      <font>
        <b/>
        <color rgb="FF925908"/>
      </font>
      <fill>
        <patternFill>
          <bgColor rgb="FFFFF0CF"/>
        </patternFill>
      </fill>
    </dxf>
    <dxf>
      <font>
        <b/>
        <color rgb="FF62548D"/>
      </font>
      <fill>
        <patternFill>
          <bgColor rgb="FFE9E7F4"/>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ables/table1.xml><?xml version="1.0" encoding="utf-8"?>
<table xmlns="http://schemas.openxmlformats.org/spreadsheetml/2006/main" id="1" name="TonightTests" displayName="TonightTests" ref="A6:I20" totalsRowShown="0">
  <autoFilter ref="A6:I20"/>
  <tableColumns count="9">
    <tableColumn id="1" name="ID" dataDxfId="0"/>
    <tableColumn id="2" name="Priority" dataDxfId="0"/>
    <tableColumn id="3" name="Status" dataDxfId="1"/>
    <tableColumn id="4" name="Test" dataDxfId="0"/>
    <tableColumn id="5" name="Steps and expected result" dataDxfId="0"/>
    <tableColumn id="6" name="Actual result / notes" dataDxfId="2"/>
    <tableColumn id="7" name="Evidence / issue ID" dataDxfId="2"/>
    <tableColumn id="8" name="Retest: build, date, result" dataDxfId="2"/>
    <tableColumn id="9" name="Tested on" dataDxfId="2"/>
  </tableColumns>
  <tableStyleInfo name="TableStyleMedium2" showFirstColumn="0" showLastColumn="0" showRowStripes="1" showColumnStripes="0"/>
</table>
</file>

<file path=xl/tables/table2.xml><?xml version="1.0" encoding="utf-8"?>
<table xmlns="http://schemas.openxmlformats.org/spreadsheetml/2006/main" id="2" name="ReleaseTests" displayName="ReleaseTests" ref="A6:I22" totalsRowShown="0">
  <autoFilter ref="A6:I22"/>
  <tableColumns count="9">
    <tableColumn id="1" name="ID" dataDxfId="0"/>
    <tableColumn id="2" name="Priority" dataDxfId="0"/>
    <tableColumn id="3" name="Status" dataDxfId="1"/>
    <tableColumn id="4" name="Test" dataDxfId="0"/>
    <tableColumn id="5" name="Steps and expected result" dataDxfId="0"/>
    <tableColumn id="6" name="Actual result / notes" dataDxfId="2"/>
    <tableColumn id="7" name="Evidence / issue ID" dataDxfId="2"/>
    <tableColumn id="8" name="Retest: build, date, result" dataDxfId="2"/>
    <tableColumn id="9" name="Tested on" dataDxfId="2"/>
  </tableColumns>
  <tableStyleInfo name="TableStyleMedium2" showFirstColumn="0" showLastColumn="0" showRowStripes="1" showColumnStripes="0"/>
</table>
</file>

<file path=xl/tables/table3.xml><?xml version="1.0" encoding="utf-8"?>
<table xmlns="http://schemas.openxmlformats.org/spreadsheetml/2006/main" id="3" name="ManualIssues" displayName="ManualIssues" ref="A6:J36" totalsRowShown="0">
  <autoFilter ref="A6:J36"/>
  <tableColumns count="10">
    <tableColumn id="1" name="Issue ID" dataDxfId="2"/>
    <tableColumn id="2" name="Test ID(s)" dataDxfId="2"/>
    <tableColumn id="3" name="Severity" dataDxfId="2"/>
    <tableColumn id="4" name="Status" dataDxfId="2"/>
    <tableColumn id="5" name="Problem summary" dataDxfId="2"/>
    <tableColumn id="6" name="Reproduction steps" dataDxfId="2"/>
    <tableColumn id="7" name="Expected behavior" dataDxfId="2"/>
    <tableColumn id="8" name="Actual behavior / exact error" dataDxfId="2"/>
    <tableColumn id="9" name="Evidence reference" dataDxfId="2"/>
    <tableColumn id="10" name="Fix build / retest / date"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sheetPr>
    <tabColor rgb="FF0E716E"/>
    <pageSetUpPr fitToPage="1"/>
  </sheetPr>
  <dimension ref="B2:H38"/>
  <sheetViews>
    <sheetView showGridLines="0" tabSelected="1" zoomScale="95" zoomScaleNormal="95" workbookViewId="0">
      <pane xSplit="2" ySplit="6" topLeftCell="C7" activePane="bottomRight" state="frozen"/>
      <selection pane="topRight" activeCell="C1" sqref="C1"/>
      <selection pane="bottomLeft" activeCell="A7" sqref="A7"/>
      <selection pane="bottomRight"/>
    </sheetView>
  </sheetViews>
  <sheetFormatPr defaultRowHeight="15"/>
  <cols>
    <col min="1" max="1" width="3.7109375" customWidth="1"/>
    <col min="2" max="2" width="25.7109375" customWidth="1"/>
    <col min="3" max="8" width="15.7109375" customWidth="1"/>
  </cols>
  <sheetData>
    <row r="2" spans="2:8">
      <c r="B2" s="1" t="s">
        <v>0</v>
      </c>
      <c r="C2" s="1"/>
      <c r="D2" s="1"/>
      <c r="E2" s="1"/>
      <c r="F2" s="1"/>
      <c r="G2" s="1"/>
      <c r="H2" s="1"/>
    </row>
    <row r="3" spans="2:8">
      <c r="B3" s="1"/>
      <c r="C3" s="1"/>
      <c r="D3" s="1"/>
      <c r="E3" s="1"/>
      <c r="F3" s="1"/>
      <c r="G3" s="1"/>
      <c r="H3" s="1"/>
    </row>
    <row r="4" spans="2:8" ht="24" customHeight="1">
      <c r="B4" s="2" t="s">
        <v>1</v>
      </c>
      <c r="C4" s="2"/>
      <c r="D4" s="2"/>
      <c r="E4" s="2"/>
      <c r="F4" s="2"/>
      <c r="G4" s="2"/>
      <c r="H4" s="2"/>
    </row>
    <row r="6" spans="2:8">
      <c r="B6" s="3" t="s">
        <v>2</v>
      </c>
      <c r="C6" s="3"/>
      <c r="D6" s="3"/>
      <c r="E6" s="3"/>
      <c r="F6" s="3"/>
      <c r="G6" s="3"/>
      <c r="H6" s="3"/>
    </row>
    <row r="7" spans="2:8" ht="30" customHeight="1">
      <c r="B7" s="4" t="s">
        <v>3</v>
      </c>
      <c r="C7" s="5" t="s">
        <v>4</v>
      </c>
      <c r="D7" s="5"/>
      <c r="E7" s="5"/>
      <c r="F7" s="5"/>
      <c r="G7" s="5"/>
      <c r="H7" s="5"/>
    </row>
    <row r="8" spans="2:8" ht="30" customHeight="1">
      <c r="B8" s="4" t="s">
        <v>5</v>
      </c>
      <c r="C8" s="5" t="s">
        <v>6</v>
      </c>
      <c r="D8" s="5"/>
      <c r="E8" s="5"/>
      <c r="F8" s="5"/>
      <c r="G8" s="5"/>
      <c r="H8" s="5"/>
    </row>
    <row r="9" spans="2:8" ht="30" customHeight="1">
      <c r="B9" s="4" t="s">
        <v>7</v>
      </c>
      <c r="C9" s="5"/>
      <c r="D9" s="5"/>
      <c r="E9" s="5"/>
      <c r="F9" s="5"/>
      <c r="G9" s="5"/>
      <c r="H9" s="5"/>
    </row>
    <row r="10" spans="2:8" ht="30" customHeight="1">
      <c r="B10" s="4" t="s">
        <v>8</v>
      </c>
      <c r="C10" s="5"/>
      <c r="D10" s="5"/>
      <c r="E10" s="5"/>
      <c r="F10" s="5"/>
      <c r="G10" s="5"/>
      <c r="H10" s="5"/>
    </row>
    <row r="11" spans="2:8" ht="30" customHeight="1">
      <c r="B11" s="4" t="s">
        <v>9</v>
      </c>
      <c r="C11" s="5"/>
      <c r="D11" s="5"/>
      <c r="E11" s="5"/>
      <c r="F11" s="5"/>
      <c r="G11" s="5"/>
      <c r="H11" s="5"/>
    </row>
    <row r="12" spans="2:8" ht="30" customHeight="1">
      <c r="B12" s="4" t="s">
        <v>10</v>
      </c>
      <c r="C12" s="5"/>
      <c r="D12" s="5"/>
      <c r="E12" s="5"/>
      <c r="F12" s="5"/>
      <c r="G12" s="5"/>
      <c r="H12" s="5"/>
    </row>
    <row r="13" spans="2:8" ht="30" customHeight="1">
      <c r="B13" s="4" t="s">
        <v>11</v>
      </c>
      <c r="C13" s="5"/>
      <c r="D13" s="5"/>
      <c r="E13" s="5"/>
      <c r="F13" s="5"/>
      <c r="G13" s="5"/>
      <c r="H13" s="5"/>
    </row>
    <row r="14" spans="2:8" ht="30" customHeight="1">
      <c r="B14" s="4" t="s">
        <v>12</v>
      </c>
      <c r="C14" s="5"/>
      <c r="D14" s="5"/>
      <c r="E14" s="5"/>
      <c r="F14" s="5"/>
      <c r="G14" s="5"/>
      <c r="H14" s="5"/>
    </row>
    <row r="15" spans="2:8" ht="30" customHeight="1">
      <c r="B15" s="4" t="s">
        <v>13</v>
      </c>
      <c r="C15" s="5"/>
      <c r="D15" s="5"/>
      <c r="E15" s="5"/>
      <c r="F15" s="5"/>
      <c r="G15" s="5"/>
      <c r="H15" s="5"/>
    </row>
    <row r="17" spans="2:8">
      <c r="B17" s="3" t="s">
        <v>14</v>
      </c>
      <c r="C17" s="3"/>
      <c r="D17" s="3"/>
      <c r="E17" s="3"/>
      <c r="F17" s="3"/>
      <c r="G17" s="3"/>
      <c r="H17" s="3"/>
    </row>
    <row r="18" spans="2:8" ht="35" customHeight="1">
      <c r="B18" s="6" t="s">
        <v>15</v>
      </c>
      <c r="C18" s="6"/>
      <c r="D18" s="6"/>
      <c r="E18" s="6"/>
      <c r="F18" s="6"/>
      <c r="G18" s="6"/>
      <c r="H18" s="6"/>
    </row>
    <row r="19" spans="2:8" ht="35" customHeight="1">
      <c r="B19" s="6" t="s">
        <v>16</v>
      </c>
      <c r="C19" s="6"/>
      <c r="D19" s="6"/>
      <c r="E19" s="6"/>
      <c r="F19" s="6"/>
      <c r="G19" s="6"/>
      <c r="H19" s="6"/>
    </row>
    <row r="20" spans="2:8" ht="35" customHeight="1">
      <c r="B20" s="6" t="s">
        <v>17</v>
      </c>
      <c r="C20" s="6"/>
      <c r="D20" s="6"/>
      <c r="E20" s="6"/>
      <c r="F20" s="6"/>
      <c r="G20" s="6"/>
      <c r="H20" s="6"/>
    </row>
    <row r="21" spans="2:8" ht="35" customHeight="1">
      <c r="B21" s="6" t="s">
        <v>18</v>
      </c>
      <c r="C21" s="6"/>
      <c r="D21" s="6"/>
      <c r="E21" s="6"/>
      <c r="F21" s="6"/>
      <c r="G21" s="6"/>
      <c r="H21" s="6"/>
    </row>
    <row r="22" spans="2:8" ht="35" customHeight="1">
      <c r="B22" s="6" t="s">
        <v>19</v>
      </c>
      <c r="C22" s="6"/>
      <c r="D22" s="6"/>
      <c r="E22" s="6"/>
      <c r="F22" s="6"/>
      <c r="G22" s="6"/>
      <c r="H22" s="6"/>
    </row>
    <row r="24" spans="2:8">
      <c r="B24" s="3" t="s">
        <v>20</v>
      </c>
      <c r="C24" s="3"/>
      <c r="D24" s="3"/>
      <c r="E24" s="3"/>
      <c r="F24" s="3"/>
      <c r="G24" s="3"/>
      <c r="H24" s="3"/>
    </row>
    <row r="25" spans="2:8">
      <c r="B25" s="7" t="s">
        <v>21</v>
      </c>
      <c r="C25" s="7" t="s">
        <v>22</v>
      </c>
      <c r="D25" s="7" t="s">
        <v>23</v>
      </c>
      <c r="E25" s="7" t="s">
        <v>24</v>
      </c>
      <c r="F25" s="7" t="s">
        <v>25</v>
      </c>
      <c r="G25" s="7" t="s">
        <v>26</v>
      </c>
      <c r="H25" s="7" t="s">
        <v>27</v>
      </c>
    </row>
    <row r="26" spans="2:8" ht="34" customHeight="1">
      <c r="B26" s="8" t="s">
        <v>28</v>
      </c>
      <c r="C26" s="9">
        <v>14</v>
      </c>
      <c r="D26" s="9">
        <f>COUNTIF('Tonight'!$C$7:$C$20,"Pass")</f>
        <v>0</v>
      </c>
      <c r="E26" s="9">
        <f>COUNTIF('Tonight'!$C$7:$C$20,"Fail")</f>
        <v>0</v>
      </c>
      <c r="F26" s="9">
        <f>COUNTIF('Tonight'!$C$7:$C$20,"Blocked")</f>
        <v>0</v>
      </c>
      <c r="G26" s="9">
        <f>COUNTIF('Tonight'!$C$7:$C$20,"Not run")</f>
        <v>14</v>
      </c>
      <c r="H26" s="9">
        <f>COUNTIF('Tonight'!$C$7:$C$20,"Not applicable")</f>
        <v>0</v>
      </c>
    </row>
    <row r="27" spans="2:8" ht="34" customHeight="1">
      <c r="B27" s="8" t="s">
        <v>29</v>
      </c>
      <c r="C27" s="9">
        <v>16</v>
      </c>
      <c r="D27" s="9">
        <f>COUNTIF('Before 1.0'!$C$7:$C$22,"Pass")</f>
        <v>0</v>
      </c>
      <c r="E27" s="9">
        <f>COUNTIF('Before 1.0'!$C$7:$C$22,"Fail")</f>
        <v>0</v>
      </c>
      <c r="F27" s="9">
        <f>COUNTIF('Before 1.0'!$C$7:$C$22,"Blocked")</f>
        <v>0</v>
      </c>
      <c r="G27" s="9">
        <f>COUNTIF('Before 1.0'!$C$7:$C$22,"Not run")</f>
        <v>16</v>
      </c>
      <c r="H27" s="9">
        <f>COUNTIF('Before 1.0'!$C$7:$C$22,"Not applicable")</f>
        <v>0</v>
      </c>
    </row>
    <row r="29" spans="2:8">
      <c r="B29" s="3" t="s">
        <v>30</v>
      </c>
      <c r="C29" s="3"/>
      <c r="D29" s="3"/>
      <c r="E29" s="3"/>
      <c r="F29" s="3"/>
      <c r="G29" s="3"/>
      <c r="H29" s="3"/>
    </row>
    <row r="30" spans="2:8" ht="36" customHeight="1">
      <c r="B30" s="4" t="s">
        <v>31</v>
      </c>
      <c r="C30" s="9">
        <f>23-(COUNTIFS('Tonight'!$B$7:$B$20,"Required",'Tonight'!$C$7:$C$20,"Pass")+COUNTIFS('Before 1.0'!$B$7:$B$22,"Required",'Before 1.0'!$C$7:$C$22,"Pass"))</f>
        <v>23</v>
      </c>
      <c r="D30" s="9"/>
      <c r="F30" s="4" t="s">
        <v>32</v>
      </c>
      <c r="G30" s="9">
        <f>COUNTIFS(Issues!$C$7:$C$36,"Critical",Issues!$D$7:$D$36,"&lt;&gt;Closed",Issues!$E$7:$E$36,"&lt;&gt;")+COUNTIFS(Issues!$C$7:$C$36,"High",Issues!$D$7:$D$36,"&lt;&gt;Closed",Issues!$E$7:$E$36,"&lt;&gt;")</f>
        <v>0</v>
      </c>
      <c r="H30" s="9"/>
    </row>
    <row r="32" spans="2:8">
      <c r="B32" s="10" t="str">
        <f>IF(OR(SUM(E26:E27)&gt;0,SUM(F26:F27)&gt;0,G30&gt;0),"FIXES / RETEST / UNBLOCK NEEDED",IF(C30&gt;0,"TESTING INCOMPLETE","REVIEW RESULTS BEFORE RELEASE"))</f>
        <v>TESTING INCOMPLETE</v>
      </c>
      <c r="C32" s="10"/>
      <c r="D32" s="10"/>
      <c r="E32" s="10"/>
      <c r="F32" s="10"/>
      <c r="G32" s="10"/>
      <c r="H32" s="10"/>
    </row>
    <row r="33" spans="2:8">
      <c r="B33" s="10"/>
      <c r="C33" s="10"/>
      <c r="D33" s="10"/>
      <c r="E33" s="10"/>
      <c r="F33" s="10"/>
      <c r="G33" s="10"/>
      <c r="H33" s="10"/>
    </row>
    <row r="35" spans="2:8" ht="27" customHeight="1">
      <c r="B35" s="6" t="s">
        <v>33</v>
      </c>
      <c r="C35" s="6"/>
      <c r="D35" s="6"/>
      <c r="E35" s="6"/>
      <c r="F35" s="6"/>
      <c r="G35" s="6"/>
      <c r="H35" s="6"/>
    </row>
    <row r="36" spans="2:8" ht="27" customHeight="1">
      <c r="B36" s="6"/>
      <c r="C36" s="6"/>
      <c r="D36" s="6"/>
      <c r="E36" s="6"/>
      <c r="F36" s="6"/>
      <c r="G36" s="6"/>
      <c r="H36" s="6"/>
    </row>
    <row r="38" spans="2:8">
      <c r="B38" s="8" t="s">
        <v>34</v>
      </c>
      <c r="F38" s="8" t="s">
        <v>35</v>
      </c>
    </row>
  </sheetData>
  <mergeCells count="24">
    <mergeCell ref="B2:H3"/>
    <mergeCell ref="B4:H4"/>
    <mergeCell ref="B6:H6"/>
    <mergeCell ref="C7:H7"/>
    <mergeCell ref="C8:H8"/>
    <mergeCell ref="C9:H9"/>
    <mergeCell ref="C10:H10"/>
    <mergeCell ref="C11:H11"/>
    <mergeCell ref="C12:H12"/>
    <mergeCell ref="C13:H13"/>
    <mergeCell ref="C14:H14"/>
    <mergeCell ref="C15:H15"/>
    <mergeCell ref="B17:H17"/>
    <mergeCell ref="B18:H18"/>
    <mergeCell ref="B19:H19"/>
    <mergeCell ref="B20:H20"/>
    <mergeCell ref="B21:H21"/>
    <mergeCell ref="B22:H22"/>
    <mergeCell ref="B24:H24"/>
    <mergeCell ref="B29:H29"/>
    <mergeCell ref="C30:D30"/>
    <mergeCell ref="G30:H30"/>
    <mergeCell ref="B32:H33"/>
    <mergeCell ref="B35:H36"/>
  </mergeCells>
  <hyperlinks>
    <hyperlink ref="B26" location="'Tonight'!A1" display="Tonight"/>
    <hyperlink ref="B27" location="'Before 1.0'!A1" display="Before 1.0"/>
    <hyperlink ref="B38" location="'Tonight'!A1" display="Start Tonight →"/>
    <hyperlink ref="F38" location="'Issues'!A1" display="Record an issue →"/>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sheetPr>
    <tabColor rgb="FF0E716E"/>
    <pageSetUpPr fitToPage="1"/>
  </sheetPr>
  <dimension ref="A1:I20"/>
  <sheetViews>
    <sheetView showGridLines="0" zoomScale="85" zoomScaleNormal="85" workbookViewId="0">
      <pane xSplit="4" ySplit="6" topLeftCell="E7" activePane="bottomRight" state="frozen"/>
      <selection pane="topRight" activeCell="E1" sqref="E1"/>
      <selection pane="bottomLeft" activeCell="A7" sqref="A7"/>
      <selection pane="bottomRight"/>
    </sheetView>
  </sheetViews>
  <sheetFormatPr defaultRowHeight="15"/>
  <cols>
    <col min="1" max="1" width="9.7109375" customWidth="1"/>
    <col min="2" max="2" width="14.7109375" customWidth="1"/>
    <col min="3" max="3" width="18.7109375" customWidth="1"/>
    <col min="4" max="4" width="34.7109375" customWidth="1"/>
    <col min="5" max="5" width="88.7109375" customWidth="1"/>
    <col min="6" max="6" width="48.7109375" customWidth="1"/>
    <col min="7" max="7" width="28.7109375" customWidth="1"/>
    <col min="8" max="8" width="34.7109375" customWidth="1"/>
    <col min="9" max="9" width="18.7109375" customWidth="1"/>
  </cols>
  <sheetData>
    <row r="1" spans="1:9">
      <c r="A1" s="1" t="s">
        <v>36</v>
      </c>
      <c r="B1" s="1"/>
      <c r="C1" s="1"/>
      <c r="D1" s="1"/>
      <c r="E1" s="1"/>
      <c r="F1" s="1"/>
      <c r="G1" s="1"/>
      <c r="H1" s="1"/>
      <c r="I1" s="1"/>
    </row>
    <row r="2" spans="1:9">
      <c r="A2" s="1"/>
      <c r="B2" s="1"/>
      <c r="C2" s="1"/>
      <c r="D2" s="1"/>
      <c r="E2" s="1"/>
      <c r="F2" s="1"/>
      <c r="G2" s="1"/>
      <c r="H2" s="1"/>
      <c r="I2" s="1"/>
    </row>
    <row r="3" spans="1:9" ht="32" customHeight="1">
      <c r="A3" s="2" t="s">
        <v>37</v>
      </c>
      <c r="B3" s="2"/>
      <c r="C3" s="2"/>
      <c r="D3" s="2"/>
      <c r="E3" s="2"/>
      <c r="F3" s="2"/>
      <c r="G3" s="2"/>
      <c r="H3" s="2"/>
      <c r="I3" s="2"/>
    </row>
    <row r="4" spans="1:9" ht="30" customHeight="1">
      <c r="A4" s="2" t="s">
        <v>38</v>
      </c>
      <c r="B4" s="2"/>
      <c r="C4" s="2"/>
      <c r="D4" s="2"/>
      <c r="E4" s="2"/>
      <c r="F4" s="2"/>
      <c r="G4" s="2"/>
      <c r="H4" s="2"/>
      <c r="I4" s="2"/>
    </row>
    <row r="5" spans="1:9">
      <c r="A5" s="8" t="s">
        <v>39</v>
      </c>
    </row>
    <row r="6" spans="1:9" ht="28" customHeight="1">
      <c r="A6" s="7" t="s">
        <v>40</v>
      </c>
      <c r="B6" s="7" t="s">
        <v>41</v>
      </c>
      <c r="C6" s="7" t="s">
        <v>42</v>
      </c>
      <c r="D6" s="7" t="s">
        <v>43</v>
      </c>
      <c r="E6" s="7" t="s">
        <v>44</v>
      </c>
      <c r="F6" s="7" t="s">
        <v>45</v>
      </c>
      <c r="G6" s="7" t="s">
        <v>46</v>
      </c>
      <c r="H6" s="7" t="s">
        <v>47</v>
      </c>
      <c r="I6" s="7" t="s">
        <v>48</v>
      </c>
    </row>
    <row r="7" spans="1:9" ht="132" customHeight="1">
      <c r="A7" s="11" t="s">
        <v>49</v>
      </c>
      <c r="B7" s="11" t="s">
        <v>50</v>
      </c>
      <c r="C7" s="12" t="s">
        <v>26</v>
      </c>
      <c r="D7" s="11" t="s">
        <v>51</v>
      </c>
      <c r="E7" s="11" t="s">
        <v>52</v>
      </c>
      <c r="F7" s="5"/>
      <c r="G7" s="5"/>
      <c r="H7" s="5"/>
      <c r="I7" s="5"/>
    </row>
    <row r="8" spans="1:9" ht="132" customHeight="1">
      <c r="A8" s="11" t="s">
        <v>53</v>
      </c>
      <c r="B8" s="11" t="s">
        <v>54</v>
      </c>
      <c r="C8" s="12" t="s">
        <v>26</v>
      </c>
      <c r="D8" s="11" t="s">
        <v>55</v>
      </c>
      <c r="E8" s="11" t="s">
        <v>56</v>
      </c>
      <c r="F8" s="5"/>
      <c r="G8" s="5"/>
      <c r="H8" s="5"/>
      <c r="I8" s="5"/>
    </row>
    <row r="9" spans="1:9" ht="132" customHeight="1">
      <c r="A9" s="11" t="s">
        <v>57</v>
      </c>
      <c r="B9" s="11" t="s">
        <v>50</v>
      </c>
      <c r="C9" s="12" t="s">
        <v>26</v>
      </c>
      <c r="D9" s="11" t="s">
        <v>58</v>
      </c>
      <c r="E9" s="11" t="s">
        <v>59</v>
      </c>
      <c r="F9" s="5"/>
      <c r="G9" s="5"/>
      <c r="H9" s="5"/>
      <c r="I9" s="5"/>
    </row>
    <row r="10" spans="1:9" ht="132" customHeight="1">
      <c r="A10" s="11" t="s">
        <v>60</v>
      </c>
      <c r="B10" s="11" t="s">
        <v>50</v>
      </c>
      <c r="C10" s="12" t="s">
        <v>26</v>
      </c>
      <c r="D10" s="11" t="s">
        <v>61</v>
      </c>
      <c r="E10" s="11" t="s">
        <v>62</v>
      </c>
      <c r="F10" s="5"/>
      <c r="G10" s="5"/>
      <c r="H10" s="5"/>
      <c r="I10" s="5"/>
    </row>
    <row r="11" spans="1:9" ht="132" customHeight="1">
      <c r="A11" s="11" t="s">
        <v>63</v>
      </c>
      <c r="B11" s="11" t="s">
        <v>50</v>
      </c>
      <c r="C11" s="12" t="s">
        <v>26</v>
      </c>
      <c r="D11" s="11" t="s">
        <v>64</v>
      </c>
      <c r="E11" s="11" t="s">
        <v>65</v>
      </c>
      <c r="F11" s="5"/>
      <c r="G11" s="5"/>
      <c r="H11" s="5"/>
      <c r="I11" s="5"/>
    </row>
    <row r="12" spans="1:9" ht="132" customHeight="1">
      <c r="A12" s="11" t="s">
        <v>66</v>
      </c>
      <c r="B12" s="11" t="s">
        <v>50</v>
      </c>
      <c r="C12" s="12" t="s">
        <v>26</v>
      </c>
      <c r="D12" s="11" t="s">
        <v>67</v>
      </c>
      <c r="E12" s="11" t="s">
        <v>68</v>
      </c>
      <c r="F12" s="5"/>
      <c r="G12" s="5"/>
      <c r="H12" s="5"/>
      <c r="I12" s="5"/>
    </row>
    <row r="13" spans="1:9" ht="132" customHeight="1">
      <c r="A13" s="11" t="s">
        <v>69</v>
      </c>
      <c r="B13" s="11" t="s">
        <v>50</v>
      </c>
      <c r="C13" s="12" t="s">
        <v>26</v>
      </c>
      <c r="D13" s="11" t="s">
        <v>70</v>
      </c>
      <c r="E13" s="11" t="s">
        <v>71</v>
      </c>
      <c r="F13" s="5"/>
      <c r="G13" s="5"/>
      <c r="H13" s="5"/>
      <c r="I13" s="5"/>
    </row>
    <row r="14" spans="1:9" ht="132" customHeight="1">
      <c r="A14" s="11" t="s">
        <v>72</v>
      </c>
      <c r="B14" s="11" t="s">
        <v>50</v>
      </c>
      <c r="C14" s="12" t="s">
        <v>26</v>
      </c>
      <c r="D14" s="11" t="s">
        <v>73</v>
      </c>
      <c r="E14" s="11" t="s">
        <v>74</v>
      </c>
      <c r="F14" s="5"/>
      <c r="G14" s="5"/>
      <c r="H14" s="5"/>
      <c r="I14" s="5"/>
    </row>
    <row r="15" spans="1:9" ht="132" customHeight="1">
      <c r="A15" s="11" t="s">
        <v>75</v>
      </c>
      <c r="B15" s="11" t="s">
        <v>50</v>
      </c>
      <c r="C15" s="12" t="s">
        <v>26</v>
      </c>
      <c r="D15" s="11" t="s">
        <v>76</v>
      </c>
      <c r="E15" s="11" t="s">
        <v>77</v>
      </c>
      <c r="F15" s="5"/>
      <c r="G15" s="5"/>
      <c r="H15" s="5"/>
      <c r="I15" s="5"/>
    </row>
    <row r="16" spans="1:9" ht="132" customHeight="1">
      <c r="A16" s="11" t="s">
        <v>78</v>
      </c>
      <c r="B16" s="11" t="s">
        <v>50</v>
      </c>
      <c r="C16" s="12" t="s">
        <v>26</v>
      </c>
      <c r="D16" s="11" t="s">
        <v>79</v>
      </c>
      <c r="E16" s="11" t="s">
        <v>80</v>
      </c>
      <c r="F16" s="5"/>
      <c r="G16" s="5"/>
      <c r="H16" s="5"/>
      <c r="I16" s="5"/>
    </row>
    <row r="17" spans="1:9" ht="132" customHeight="1">
      <c r="A17" s="11" t="s">
        <v>81</v>
      </c>
      <c r="B17" s="11" t="s">
        <v>50</v>
      </c>
      <c r="C17" s="12" t="s">
        <v>26</v>
      </c>
      <c r="D17" s="11" t="s">
        <v>82</v>
      </c>
      <c r="E17" s="11" t="s">
        <v>83</v>
      </c>
      <c r="F17" s="5"/>
      <c r="G17" s="5"/>
      <c r="H17" s="5"/>
      <c r="I17" s="5"/>
    </row>
    <row r="18" spans="1:9" ht="132" customHeight="1">
      <c r="A18" s="11" t="s">
        <v>84</v>
      </c>
      <c r="B18" s="11" t="s">
        <v>50</v>
      </c>
      <c r="C18" s="12" t="s">
        <v>26</v>
      </c>
      <c r="D18" s="11" t="s">
        <v>85</v>
      </c>
      <c r="E18" s="11" t="s">
        <v>86</v>
      </c>
      <c r="F18" s="5"/>
      <c r="G18" s="5"/>
      <c r="H18" s="5"/>
      <c r="I18" s="5"/>
    </row>
    <row r="19" spans="1:9" ht="132" customHeight="1">
      <c r="A19" s="11" t="s">
        <v>87</v>
      </c>
      <c r="B19" s="11" t="s">
        <v>50</v>
      </c>
      <c r="C19" s="12" t="s">
        <v>26</v>
      </c>
      <c r="D19" s="11" t="s">
        <v>88</v>
      </c>
      <c r="E19" s="11" t="s">
        <v>89</v>
      </c>
      <c r="F19" s="5"/>
      <c r="G19" s="5"/>
      <c r="H19" s="5"/>
      <c r="I19" s="5"/>
    </row>
    <row r="20" spans="1:9" ht="154" customHeight="1">
      <c r="A20" s="11" t="s">
        <v>90</v>
      </c>
      <c r="B20" s="11" t="s">
        <v>50</v>
      </c>
      <c r="C20" s="12" t="s">
        <v>26</v>
      </c>
      <c r="D20" s="11" t="s">
        <v>91</v>
      </c>
      <c r="E20" s="11" t="s">
        <v>92</v>
      </c>
      <c r="F20" s="5"/>
      <c r="G20" s="5"/>
      <c r="H20" s="5"/>
      <c r="I20" s="5"/>
    </row>
  </sheetData>
  <mergeCells count="3">
    <mergeCell ref="A1:I2"/>
    <mergeCell ref="A3:I3"/>
    <mergeCell ref="A4:I4"/>
  </mergeCells>
  <conditionalFormatting sqref="C7:C20">
    <cfRule type="cellIs" dxfId="3" priority="1" operator="equal">
      <formula>"Not run"</formula>
    </cfRule>
    <cfRule type="cellIs" dxfId="4" priority="2" operator="equal">
      <formula>"Pass"</formula>
    </cfRule>
    <cfRule type="cellIs" dxfId="5" priority="3" operator="equal">
      <formula>"Fail"</formula>
    </cfRule>
    <cfRule type="cellIs" dxfId="6" priority="4" operator="equal">
      <formula>"Blocked"</formula>
    </cfRule>
    <cfRule type="cellIs" dxfId="7" priority="5" operator="equal">
      <formula>"Not applicable"</formula>
    </cfRule>
  </conditionalFormatting>
  <dataValidations count="1">
    <dataValidation type="list" allowBlank="1" showInputMessage="1" showErrorMessage="1" errorTitle="Choose a listed status" error="Use the dropdown so progress counts stay accurate." promptTitle="Manual result" prompt="Choose a result after checking the expected behavior." sqref="C7:C20">
      <formula1>"Not run,Pass,Fail,Blocked,Not applicable"</formula1>
    </dataValidation>
  </dataValidations>
  <hyperlinks>
    <hyperlink ref="A5" location="'Overview'!B2" display="Overview"/>
  </hyperlinks>
  <pageMargins left="0.7" right="0.7" top="0.75" bottom="0.75" header="0.3" footer="0.3"/>
  <pageSetup paperSize="8" fitToHeight="0" orientation="landscape"/>
  <headerFooter>
    <oddFooter>&amp;LComfyUI Control 1.0 testing&amp;RPage &amp;P / &amp;N</oddFooter>
  </headerFooter>
  <tableParts count="1">
    <tablePart r:id="rId1"/>
  </tableParts>
</worksheet>
</file>

<file path=xl/worksheets/sheet3.xml><?xml version="1.0" encoding="utf-8"?>
<worksheet xmlns="http://schemas.openxmlformats.org/spreadsheetml/2006/main" xmlns:r="http://schemas.openxmlformats.org/officeDocument/2006/relationships">
  <sheetPr>
    <tabColor rgb="FF1760A5"/>
    <pageSetUpPr fitToPage="1"/>
  </sheetPr>
  <dimension ref="A1:I22"/>
  <sheetViews>
    <sheetView showGridLines="0" zoomScale="85" zoomScaleNormal="85" workbookViewId="0">
      <pane xSplit="4" ySplit="6" topLeftCell="E7" activePane="bottomRight" state="frozen"/>
      <selection pane="topRight" activeCell="E1" sqref="E1"/>
      <selection pane="bottomLeft" activeCell="A7" sqref="A7"/>
      <selection pane="bottomRight"/>
    </sheetView>
  </sheetViews>
  <sheetFormatPr defaultRowHeight="15"/>
  <cols>
    <col min="1" max="1" width="9.7109375" customWidth="1"/>
    <col min="2" max="2" width="14.7109375" customWidth="1"/>
    <col min="3" max="3" width="18.7109375" customWidth="1"/>
    <col min="4" max="4" width="34.7109375" customWidth="1"/>
    <col min="5" max="5" width="88.7109375" customWidth="1"/>
    <col min="6" max="6" width="48.7109375" customWidth="1"/>
    <col min="7" max="7" width="28.7109375" customWidth="1"/>
    <col min="8" max="8" width="34.7109375" customWidth="1"/>
    <col min="9" max="9" width="18.7109375" customWidth="1"/>
  </cols>
  <sheetData>
    <row r="1" spans="1:9">
      <c r="A1" s="1" t="s">
        <v>93</v>
      </c>
      <c r="B1" s="1"/>
      <c r="C1" s="1"/>
      <c r="D1" s="1"/>
      <c r="E1" s="1"/>
      <c r="F1" s="1"/>
      <c r="G1" s="1"/>
      <c r="H1" s="1"/>
      <c r="I1" s="1"/>
    </row>
    <row r="2" spans="1:9">
      <c r="A2" s="1"/>
      <c r="B2" s="1"/>
      <c r="C2" s="1"/>
      <c r="D2" s="1"/>
      <c r="E2" s="1"/>
      <c r="F2" s="1"/>
      <c r="G2" s="1"/>
      <c r="H2" s="1"/>
      <c r="I2" s="1"/>
    </row>
    <row r="3" spans="1:9" ht="32" customHeight="1">
      <c r="A3" s="2" t="s">
        <v>94</v>
      </c>
      <c r="B3" s="2"/>
      <c r="C3" s="2"/>
      <c r="D3" s="2"/>
      <c r="E3" s="2"/>
      <c r="F3" s="2"/>
      <c r="G3" s="2"/>
      <c r="H3" s="2"/>
      <c r="I3" s="2"/>
    </row>
    <row r="4" spans="1:9" ht="30" customHeight="1">
      <c r="A4" s="2" t="s">
        <v>38</v>
      </c>
      <c r="B4" s="2"/>
      <c r="C4" s="2"/>
      <c r="D4" s="2"/>
      <c r="E4" s="2"/>
      <c r="F4" s="2"/>
      <c r="G4" s="2"/>
      <c r="H4" s="2"/>
      <c r="I4" s="2"/>
    </row>
    <row r="5" spans="1:9">
      <c r="A5" s="8" t="s">
        <v>39</v>
      </c>
    </row>
    <row r="6" spans="1:9" ht="28" customHeight="1">
      <c r="A6" s="7" t="s">
        <v>40</v>
      </c>
      <c r="B6" s="7" t="s">
        <v>41</v>
      </c>
      <c r="C6" s="7" t="s">
        <v>42</v>
      </c>
      <c r="D6" s="7" t="s">
        <v>43</v>
      </c>
      <c r="E6" s="7" t="s">
        <v>44</v>
      </c>
      <c r="F6" s="7" t="s">
        <v>45</v>
      </c>
      <c r="G6" s="7" t="s">
        <v>46</v>
      </c>
      <c r="H6" s="7" t="s">
        <v>47</v>
      </c>
      <c r="I6" s="7" t="s">
        <v>48</v>
      </c>
    </row>
    <row r="7" spans="1:9" ht="132" customHeight="1">
      <c r="A7" s="11" t="s">
        <v>95</v>
      </c>
      <c r="B7" s="11" t="s">
        <v>50</v>
      </c>
      <c r="C7" s="12" t="s">
        <v>26</v>
      </c>
      <c r="D7" s="11" t="s">
        <v>96</v>
      </c>
      <c r="E7" s="11" t="s">
        <v>97</v>
      </c>
      <c r="F7" s="5"/>
      <c r="G7" s="5"/>
      <c r="H7" s="5"/>
      <c r="I7" s="5"/>
    </row>
    <row r="8" spans="1:9" ht="132" customHeight="1">
      <c r="A8" s="11" t="s">
        <v>98</v>
      </c>
      <c r="B8" s="11" t="s">
        <v>50</v>
      </c>
      <c r="C8" s="12" t="s">
        <v>26</v>
      </c>
      <c r="D8" s="11" t="s">
        <v>99</v>
      </c>
      <c r="E8" s="11" t="s">
        <v>100</v>
      </c>
      <c r="F8" s="5"/>
      <c r="G8" s="5"/>
      <c r="H8" s="5"/>
      <c r="I8" s="5"/>
    </row>
    <row r="9" spans="1:9" ht="132" customHeight="1">
      <c r="A9" s="11" t="s">
        <v>101</v>
      </c>
      <c r="B9" s="11" t="s">
        <v>54</v>
      </c>
      <c r="C9" s="12" t="s">
        <v>26</v>
      </c>
      <c r="D9" s="11" t="s">
        <v>102</v>
      </c>
      <c r="E9" s="11" t="s">
        <v>103</v>
      </c>
      <c r="F9" s="5"/>
      <c r="G9" s="5"/>
      <c r="H9" s="5"/>
      <c r="I9" s="5"/>
    </row>
    <row r="10" spans="1:9" ht="132" customHeight="1">
      <c r="A10" s="11" t="s">
        <v>104</v>
      </c>
      <c r="B10" s="11" t="s">
        <v>50</v>
      </c>
      <c r="C10" s="12" t="s">
        <v>26</v>
      </c>
      <c r="D10" s="11" t="s">
        <v>105</v>
      </c>
      <c r="E10" s="11" t="s">
        <v>106</v>
      </c>
      <c r="F10" s="5"/>
      <c r="G10" s="5"/>
      <c r="H10" s="5"/>
      <c r="I10" s="5"/>
    </row>
    <row r="11" spans="1:9" ht="132" customHeight="1">
      <c r="A11" s="11" t="s">
        <v>107</v>
      </c>
      <c r="B11" s="11" t="s">
        <v>50</v>
      </c>
      <c r="C11" s="12" t="s">
        <v>26</v>
      </c>
      <c r="D11" s="11" t="s">
        <v>108</v>
      </c>
      <c r="E11" s="11" t="s">
        <v>109</v>
      </c>
      <c r="F11" s="5"/>
      <c r="G11" s="5"/>
      <c r="H11" s="5"/>
      <c r="I11" s="5"/>
    </row>
    <row r="12" spans="1:9" ht="132" customHeight="1">
      <c r="A12" s="11" t="s">
        <v>110</v>
      </c>
      <c r="B12" s="11" t="s">
        <v>54</v>
      </c>
      <c r="C12" s="12" t="s">
        <v>26</v>
      </c>
      <c r="D12" s="11" t="s">
        <v>111</v>
      </c>
      <c r="E12" s="11" t="s">
        <v>112</v>
      </c>
      <c r="F12" s="5"/>
      <c r="G12" s="5"/>
      <c r="H12" s="5"/>
      <c r="I12" s="5"/>
    </row>
    <row r="13" spans="1:9" ht="132" customHeight="1">
      <c r="A13" s="11" t="s">
        <v>113</v>
      </c>
      <c r="B13" s="11" t="s">
        <v>54</v>
      </c>
      <c r="C13" s="12" t="s">
        <v>26</v>
      </c>
      <c r="D13" s="11" t="s">
        <v>114</v>
      </c>
      <c r="E13" s="11" t="s">
        <v>115</v>
      </c>
      <c r="F13" s="5"/>
      <c r="G13" s="5"/>
      <c r="H13" s="5"/>
      <c r="I13" s="5"/>
    </row>
    <row r="14" spans="1:9" ht="132" customHeight="1">
      <c r="A14" s="11" t="s">
        <v>116</v>
      </c>
      <c r="B14" s="11" t="s">
        <v>50</v>
      </c>
      <c r="C14" s="12" t="s">
        <v>26</v>
      </c>
      <c r="D14" s="11" t="s">
        <v>117</v>
      </c>
      <c r="E14" s="11" t="s">
        <v>118</v>
      </c>
      <c r="F14" s="5"/>
      <c r="G14" s="5"/>
      <c r="H14" s="5"/>
      <c r="I14" s="5"/>
    </row>
    <row r="15" spans="1:9" ht="132" customHeight="1">
      <c r="A15" s="11" t="s">
        <v>119</v>
      </c>
      <c r="B15" s="11" t="s">
        <v>50</v>
      </c>
      <c r="C15" s="12" t="s">
        <v>26</v>
      </c>
      <c r="D15" s="11" t="s">
        <v>120</v>
      </c>
      <c r="E15" s="11" t="s">
        <v>121</v>
      </c>
      <c r="F15" s="5"/>
      <c r="G15" s="5"/>
      <c r="H15" s="5"/>
      <c r="I15" s="5"/>
    </row>
    <row r="16" spans="1:9" ht="154" customHeight="1">
      <c r="A16" s="11" t="s">
        <v>122</v>
      </c>
      <c r="B16" s="11" t="s">
        <v>50</v>
      </c>
      <c r="C16" s="12" t="s">
        <v>26</v>
      </c>
      <c r="D16" s="11" t="s">
        <v>123</v>
      </c>
      <c r="E16" s="11" t="s">
        <v>124</v>
      </c>
      <c r="F16" s="5"/>
      <c r="G16" s="5"/>
      <c r="H16" s="5"/>
      <c r="I16" s="5"/>
    </row>
    <row r="17" spans="1:9" ht="132" customHeight="1">
      <c r="A17" s="11" t="s">
        <v>125</v>
      </c>
      <c r="B17" s="11" t="s">
        <v>50</v>
      </c>
      <c r="C17" s="12" t="s">
        <v>26</v>
      </c>
      <c r="D17" s="11" t="s">
        <v>126</v>
      </c>
      <c r="E17" s="11" t="s">
        <v>127</v>
      </c>
      <c r="F17" s="5"/>
      <c r="G17" s="5"/>
      <c r="H17" s="5"/>
      <c r="I17" s="5"/>
    </row>
    <row r="18" spans="1:9" ht="132" customHeight="1">
      <c r="A18" s="11" t="s">
        <v>128</v>
      </c>
      <c r="B18" s="11" t="s">
        <v>50</v>
      </c>
      <c r="C18" s="12" t="s">
        <v>26</v>
      </c>
      <c r="D18" s="11" t="s">
        <v>129</v>
      </c>
      <c r="E18" s="11" t="s">
        <v>130</v>
      </c>
      <c r="F18" s="5"/>
      <c r="G18" s="5"/>
      <c r="H18" s="5"/>
      <c r="I18" s="5"/>
    </row>
    <row r="19" spans="1:9" ht="132" customHeight="1">
      <c r="A19" s="11" t="s">
        <v>131</v>
      </c>
      <c r="B19" s="11" t="s">
        <v>50</v>
      </c>
      <c r="C19" s="12" t="s">
        <v>26</v>
      </c>
      <c r="D19" s="11" t="s">
        <v>132</v>
      </c>
      <c r="E19" s="11" t="s">
        <v>133</v>
      </c>
      <c r="F19" s="5"/>
      <c r="G19" s="5"/>
      <c r="H19" s="5"/>
      <c r="I19" s="5"/>
    </row>
    <row r="20" spans="1:9" ht="132" customHeight="1">
      <c r="A20" s="11" t="s">
        <v>134</v>
      </c>
      <c r="B20" s="11" t="s">
        <v>135</v>
      </c>
      <c r="C20" s="12" t="s">
        <v>26</v>
      </c>
      <c r="D20" s="11" t="s">
        <v>136</v>
      </c>
      <c r="E20" s="11" t="s">
        <v>137</v>
      </c>
      <c r="F20" s="5"/>
      <c r="G20" s="5"/>
      <c r="H20" s="5"/>
      <c r="I20" s="5"/>
    </row>
    <row r="21" spans="1:9" ht="132" customHeight="1">
      <c r="A21" s="11" t="s">
        <v>138</v>
      </c>
      <c r="B21" s="11" t="s">
        <v>54</v>
      </c>
      <c r="C21" s="12" t="s">
        <v>26</v>
      </c>
      <c r="D21" s="11" t="s">
        <v>139</v>
      </c>
      <c r="E21" s="11" t="s">
        <v>140</v>
      </c>
      <c r="F21" s="5"/>
      <c r="G21" s="5"/>
      <c r="H21" s="5"/>
      <c r="I21" s="5"/>
    </row>
    <row r="22" spans="1:9" ht="132" customHeight="1">
      <c r="A22" s="11" t="s">
        <v>141</v>
      </c>
      <c r="B22" s="11" t="s">
        <v>135</v>
      </c>
      <c r="C22" s="12" t="s">
        <v>26</v>
      </c>
      <c r="D22" s="11" t="s">
        <v>142</v>
      </c>
      <c r="E22" s="11" t="s">
        <v>143</v>
      </c>
      <c r="F22" s="5"/>
      <c r="G22" s="5"/>
      <c r="H22" s="5"/>
      <c r="I22" s="5"/>
    </row>
  </sheetData>
  <mergeCells count="3">
    <mergeCell ref="A1:I2"/>
    <mergeCell ref="A3:I3"/>
    <mergeCell ref="A4:I4"/>
  </mergeCells>
  <conditionalFormatting sqref="C7:C22">
    <cfRule type="cellIs" dxfId="3" priority="1" operator="equal">
      <formula>"Not run"</formula>
    </cfRule>
    <cfRule type="cellIs" dxfId="4" priority="2" operator="equal">
      <formula>"Pass"</formula>
    </cfRule>
    <cfRule type="cellIs" dxfId="5" priority="3" operator="equal">
      <formula>"Fail"</formula>
    </cfRule>
    <cfRule type="cellIs" dxfId="6" priority="4" operator="equal">
      <formula>"Blocked"</formula>
    </cfRule>
    <cfRule type="cellIs" dxfId="7" priority="5" operator="equal">
      <formula>"Not applicable"</formula>
    </cfRule>
  </conditionalFormatting>
  <dataValidations count="1">
    <dataValidation type="list" allowBlank="1" showInputMessage="1" showErrorMessage="1" errorTitle="Choose a listed status" error="Use the dropdown so progress counts stay accurate." promptTitle="Manual result" prompt="Choose a result after checking the expected behavior." sqref="C7:C22">
      <formula1>"Not run,Pass,Fail,Blocked,Not applicable"</formula1>
    </dataValidation>
  </dataValidations>
  <hyperlinks>
    <hyperlink ref="A5" location="'Overview'!B2" display="Overview"/>
  </hyperlinks>
  <pageMargins left="0.7" right="0.7" top="0.75" bottom="0.75" header="0.3" footer="0.3"/>
  <pageSetup paperSize="8" fitToHeight="0" orientation="landscape"/>
  <headerFooter>
    <oddFooter>&amp;LComfyUI Control 1.0 testing&amp;RPage &amp;P / &amp;N</oddFooter>
  </headerFooter>
  <tableParts count="1">
    <tablePart r:id="rId1"/>
  </tableParts>
</worksheet>
</file>

<file path=xl/worksheets/sheet4.xml><?xml version="1.0" encoding="utf-8"?>
<worksheet xmlns="http://schemas.openxmlformats.org/spreadsheetml/2006/main" xmlns:r="http://schemas.openxmlformats.org/officeDocument/2006/relationships">
  <sheetPr>
    <tabColor rgb="FFBA5545"/>
    <pageSetUpPr fitToPage="1"/>
  </sheetPr>
  <dimension ref="A1:J36"/>
  <sheetViews>
    <sheetView showGridLines="0" zoomScale="85" zoomScaleNormal="85" workbookViewId="0">
      <pane xSplit="5" ySplit="6" topLeftCell="F7" activePane="bottomRight" state="frozen"/>
      <selection pane="topRight" activeCell="F1" sqref="F1"/>
      <selection pane="bottomLeft" activeCell="A7" sqref="A7"/>
      <selection pane="bottomRight"/>
    </sheetView>
  </sheetViews>
  <sheetFormatPr defaultRowHeight="15"/>
  <cols>
    <col min="1" max="1" width="12.7109375" customWidth="1"/>
    <col min="2" max="2" width="18.7109375" customWidth="1"/>
    <col min="3" max="3" width="14.7109375" customWidth="1"/>
    <col min="4" max="4" width="19.7109375" customWidth="1"/>
    <col min="5" max="5" width="36.7109375" customWidth="1"/>
    <col min="6" max="6" width="58.7109375" customWidth="1"/>
    <col min="7" max="8" width="48.7109375" customWidth="1"/>
    <col min="9" max="9" width="32.7109375" customWidth="1"/>
    <col min="10" max="10" width="38.7109375" customWidth="1"/>
  </cols>
  <sheetData>
    <row r="1" spans="1:10">
      <c r="A1" s="1" t="s">
        <v>144</v>
      </c>
      <c r="B1" s="1"/>
      <c r="C1" s="1"/>
      <c r="D1" s="1"/>
      <c r="E1" s="1"/>
      <c r="F1" s="1"/>
      <c r="G1" s="1"/>
      <c r="H1" s="1"/>
      <c r="I1" s="1"/>
      <c r="J1" s="1"/>
    </row>
    <row r="2" spans="1:10">
      <c r="A2" s="1"/>
      <c r="B2" s="1"/>
      <c r="C2" s="1"/>
      <c r="D2" s="1"/>
      <c r="E2" s="1"/>
      <c r="F2" s="1"/>
      <c r="G2" s="1"/>
      <c r="H2" s="1"/>
      <c r="I2" s="1"/>
      <c r="J2" s="1"/>
    </row>
    <row r="3" spans="1:10" ht="32" customHeight="1">
      <c r="A3" s="2" t="s">
        <v>145</v>
      </c>
      <c r="B3" s="2"/>
      <c r="C3" s="2"/>
      <c r="D3" s="2"/>
      <c r="E3" s="2"/>
      <c r="F3" s="2"/>
      <c r="G3" s="2"/>
      <c r="H3" s="2"/>
      <c r="I3" s="2"/>
      <c r="J3" s="2"/>
    </row>
    <row r="4" spans="1:10" ht="32" customHeight="1">
      <c r="A4" s="2" t="s">
        <v>146</v>
      </c>
      <c r="B4" s="2"/>
      <c r="C4" s="2"/>
      <c r="D4" s="2"/>
      <c r="E4" s="2"/>
      <c r="F4" s="2"/>
      <c r="G4" s="2"/>
      <c r="H4" s="2"/>
      <c r="I4" s="2"/>
      <c r="J4" s="2"/>
    </row>
    <row r="5" spans="1:10">
      <c r="A5" s="8" t="s">
        <v>39</v>
      </c>
    </row>
    <row r="6" spans="1:10" ht="28" customHeight="1">
      <c r="A6" s="7" t="s">
        <v>147</v>
      </c>
      <c r="B6" s="7" t="s">
        <v>148</v>
      </c>
      <c r="C6" s="7" t="s">
        <v>149</v>
      </c>
      <c r="D6" s="7" t="s">
        <v>42</v>
      </c>
      <c r="E6" s="7" t="s">
        <v>150</v>
      </c>
      <c r="F6" s="7" t="s">
        <v>151</v>
      </c>
      <c r="G6" s="7" t="s">
        <v>152</v>
      </c>
      <c r="H6" s="7" t="s">
        <v>153</v>
      </c>
      <c r="I6" s="7" t="s">
        <v>154</v>
      </c>
      <c r="J6" s="7" t="s">
        <v>155</v>
      </c>
    </row>
    <row r="7" spans="1:10" ht="64" customHeight="1">
      <c r="A7" s="5"/>
      <c r="B7" s="5"/>
      <c r="C7" s="5"/>
      <c r="D7" s="5"/>
      <c r="E7" s="5"/>
      <c r="F7" s="5"/>
      <c r="G7" s="5"/>
      <c r="H7" s="5"/>
      <c r="I7" s="5"/>
      <c r="J7" s="5"/>
    </row>
    <row r="8" spans="1:10" ht="64" customHeight="1">
      <c r="A8" s="5"/>
      <c r="B8" s="5"/>
      <c r="C8" s="5"/>
      <c r="D8" s="5"/>
      <c r="E8" s="5"/>
      <c r="F8" s="5"/>
      <c r="G8" s="5"/>
      <c r="H8" s="5"/>
      <c r="I8" s="5"/>
      <c r="J8" s="5"/>
    </row>
    <row r="9" spans="1:10" ht="64" customHeight="1">
      <c r="A9" s="5"/>
      <c r="B9" s="5"/>
      <c r="C9" s="5"/>
      <c r="D9" s="5"/>
      <c r="E9" s="5"/>
      <c r="F9" s="5"/>
      <c r="G9" s="5"/>
      <c r="H9" s="5"/>
      <c r="I9" s="5"/>
      <c r="J9" s="5"/>
    </row>
    <row r="10" spans="1:10" ht="64" customHeight="1">
      <c r="A10" s="5"/>
      <c r="B10" s="5"/>
      <c r="C10" s="5"/>
      <c r="D10" s="5"/>
      <c r="E10" s="5"/>
      <c r="F10" s="5"/>
      <c r="G10" s="5"/>
      <c r="H10" s="5"/>
      <c r="I10" s="5"/>
      <c r="J10" s="5"/>
    </row>
    <row r="11" spans="1:10" ht="64" customHeight="1">
      <c r="A11" s="5"/>
      <c r="B11" s="5"/>
      <c r="C11" s="5"/>
      <c r="D11" s="5"/>
      <c r="E11" s="5"/>
      <c r="F11" s="5"/>
      <c r="G11" s="5"/>
      <c r="H11" s="5"/>
      <c r="I11" s="5"/>
      <c r="J11" s="5"/>
    </row>
    <row r="12" spans="1:10" ht="64" customHeight="1">
      <c r="A12" s="5"/>
      <c r="B12" s="5"/>
      <c r="C12" s="5"/>
      <c r="D12" s="5"/>
      <c r="E12" s="5"/>
      <c r="F12" s="5"/>
      <c r="G12" s="5"/>
      <c r="H12" s="5"/>
      <c r="I12" s="5"/>
      <c r="J12" s="5"/>
    </row>
    <row r="13" spans="1:10" ht="64" customHeight="1">
      <c r="A13" s="5"/>
      <c r="B13" s="5"/>
      <c r="C13" s="5"/>
      <c r="D13" s="5"/>
      <c r="E13" s="5"/>
      <c r="F13" s="5"/>
      <c r="G13" s="5"/>
      <c r="H13" s="5"/>
      <c r="I13" s="5"/>
      <c r="J13" s="5"/>
    </row>
    <row r="14" spans="1:10" ht="64" customHeight="1">
      <c r="A14" s="5"/>
      <c r="B14" s="5"/>
      <c r="C14" s="5"/>
      <c r="D14" s="5"/>
      <c r="E14" s="5"/>
      <c r="F14" s="5"/>
      <c r="G14" s="5"/>
      <c r="H14" s="5"/>
      <c r="I14" s="5"/>
      <c r="J14" s="5"/>
    </row>
    <row r="15" spans="1:10" ht="64" customHeight="1">
      <c r="A15" s="5"/>
      <c r="B15" s="5"/>
      <c r="C15" s="5"/>
      <c r="D15" s="5"/>
      <c r="E15" s="5"/>
      <c r="F15" s="5"/>
      <c r="G15" s="5"/>
      <c r="H15" s="5"/>
      <c r="I15" s="5"/>
      <c r="J15" s="5"/>
    </row>
    <row r="16" spans="1:10" ht="64" customHeight="1">
      <c r="A16" s="5"/>
      <c r="B16" s="5"/>
      <c r="C16" s="5"/>
      <c r="D16" s="5"/>
      <c r="E16" s="5"/>
      <c r="F16" s="5"/>
      <c r="G16" s="5"/>
      <c r="H16" s="5"/>
      <c r="I16" s="5"/>
      <c r="J16" s="5"/>
    </row>
    <row r="17" spans="1:10" ht="64" customHeight="1">
      <c r="A17" s="5"/>
      <c r="B17" s="5"/>
      <c r="C17" s="5"/>
      <c r="D17" s="5"/>
      <c r="E17" s="5"/>
      <c r="F17" s="5"/>
      <c r="G17" s="5"/>
      <c r="H17" s="5"/>
      <c r="I17" s="5"/>
      <c r="J17" s="5"/>
    </row>
    <row r="18" spans="1:10" ht="64" customHeight="1">
      <c r="A18" s="5"/>
      <c r="B18" s="5"/>
      <c r="C18" s="5"/>
      <c r="D18" s="5"/>
      <c r="E18" s="5"/>
      <c r="F18" s="5"/>
      <c r="G18" s="5"/>
      <c r="H18" s="5"/>
      <c r="I18" s="5"/>
      <c r="J18" s="5"/>
    </row>
    <row r="19" spans="1:10" ht="64" customHeight="1">
      <c r="A19" s="5"/>
      <c r="B19" s="5"/>
      <c r="C19" s="5"/>
      <c r="D19" s="5"/>
      <c r="E19" s="5"/>
      <c r="F19" s="5"/>
      <c r="G19" s="5"/>
      <c r="H19" s="5"/>
      <c r="I19" s="5"/>
      <c r="J19" s="5"/>
    </row>
    <row r="20" spans="1:10" ht="64" customHeight="1">
      <c r="A20" s="5"/>
      <c r="B20" s="5"/>
      <c r="C20" s="5"/>
      <c r="D20" s="5"/>
      <c r="E20" s="5"/>
      <c r="F20" s="5"/>
      <c r="G20" s="5"/>
      <c r="H20" s="5"/>
      <c r="I20" s="5"/>
      <c r="J20" s="5"/>
    </row>
    <row r="21" spans="1:10" ht="64" customHeight="1">
      <c r="A21" s="5"/>
      <c r="B21" s="5"/>
      <c r="C21" s="5"/>
      <c r="D21" s="5"/>
      <c r="E21" s="5"/>
      <c r="F21" s="5"/>
      <c r="G21" s="5"/>
      <c r="H21" s="5"/>
      <c r="I21" s="5"/>
      <c r="J21" s="5"/>
    </row>
    <row r="22" spans="1:10" ht="64" customHeight="1">
      <c r="A22" s="5"/>
      <c r="B22" s="5"/>
      <c r="C22" s="5"/>
      <c r="D22" s="5"/>
      <c r="E22" s="5"/>
      <c r="F22" s="5"/>
      <c r="G22" s="5"/>
      <c r="H22" s="5"/>
      <c r="I22" s="5"/>
      <c r="J22" s="5"/>
    </row>
    <row r="23" spans="1:10" ht="64" customHeight="1">
      <c r="A23" s="5"/>
      <c r="B23" s="5"/>
      <c r="C23" s="5"/>
      <c r="D23" s="5"/>
      <c r="E23" s="5"/>
      <c r="F23" s="5"/>
      <c r="G23" s="5"/>
      <c r="H23" s="5"/>
      <c r="I23" s="5"/>
      <c r="J23" s="5"/>
    </row>
    <row r="24" spans="1:10" ht="64" customHeight="1">
      <c r="A24" s="5"/>
      <c r="B24" s="5"/>
      <c r="C24" s="5"/>
      <c r="D24" s="5"/>
      <c r="E24" s="5"/>
      <c r="F24" s="5"/>
      <c r="G24" s="5"/>
      <c r="H24" s="5"/>
      <c r="I24" s="5"/>
      <c r="J24" s="5"/>
    </row>
    <row r="25" spans="1:10" ht="64" customHeight="1">
      <c r="A25" s="5"/>
      <c r="B25" s="5"/>
      <c r="C25" s="5"/>
      <c r="D25" s="5"/>
      <c r="E25" s="5"/>
      <c r="F25" s="5"/>
      <c r="G25" s="5"/>
      <c r="H25" s="5"/>
      <c r="I25" s="5"/>
      <c r="J25" s="5"/>
    </row>
    <row r="26" spans="1:10" ht="64" customHeight="1">
      <c r="A26" s="5"/>
      <c r="B26" s="5"/>
      <c r="C26" s="5"/>
      <c r="D26" s="5"/>
      <c r="E26" s="5"/>
      <c r="F26" s="5"/>
      <c r="G26" s="5"/>
      <c r="H26" s="5"/>
      <c r="I26" s="5"/>
      <c r="J26" s="5"/>
    </row>
    <row r="27" spans="1:10" ht="64" customHeight="1">
      <c r="A27" s="5"/>
      <c r="B27" s="5"/>
      <c r="C27" s="5"/>
      <c r="D27" s="5"/>
      <c r="E27" s="5"/>
      <c r="F27" s="5"/>
      <c r="G27" s="5"/>
      <c r="H27" s="5"/>
      <c r="I27" s="5"/>
      <c r="J27" s="5"/>
    </row>
    <row r="28" spans="1:10" ht="64" customHeight="1">
      <c r="A28" s="5"/>
      <c r="B28" s="5"/>
      <c r="C28" s="5"/>
      <c r="D28" s="5"/>
      <c r="E28" s="5"/>
      <c r="F28" s="5"/>
      <c r="G28" s="5"/>
      <c r="H28" s="5"/>
      <c r="I28" s="5"/>
      <c r="J28" s="5"/>
    </row>
    <row r="29" spans="1:10" ht="64" customHeight="1">
      <c r="A29" s="5"/>
      <c r="B29" s="5"/>
      <c r="C29" s="5"/>
      <c r="D29" s="5"/>
      <c r="E29" s="5"/>
      <c r="F29" s="5"/>
      <c r="G29" s="5"/>
      <c r="H29" s="5"/>
      <c r="I29" s="5"/>
      <c r="J29" s="5"/>
    </row>
    <row r="30" spans="1:10" ht="64" customHeight="1">
      <c r="A30" s="5"/>
      <c r="B30" s="5"/>
      <c r="C30" s="5"/>
      <c r="D30" s="5"/>
      <c r="E30" s="5"/>
      <c r="F30" s="5"/>
      <c r="G30" s="5"/>
      <c r="H30" s="5"/>
      <c r="I30" s="5"/>
      <c r="J30" s="5"/>
    </row>
    <row r="31" spans="1:10" ht="64" customHeight="1">
      <c r="A31" s="5"/>
      <c r="B31" s="5"/>
      <c r="C31" s="5"/>
      <c r="D31" s="5"/>
      <c r="E31" s="5"/>
      <c r="F31" s="5"/>
      <c r="G31" s="5"/>
      <c r="H31" s="5"/>
      <c r="I31" s="5"/>
      <c r="J31" s="5"/>
    </row>
    <row r="32" spans="1:10" ht="64" customHeight="1">
      <c r="A32" s="5"/>
      <c r="B32" s="5"/>
      <c r="C32" s="5"/>
      <c r="D32" s="5"/>
      <c r="E32" s="5"/>
      <c r="F32" s="5"/>
      <c r="G32" s="5"/>
      <c r="H32" s="5"/>
      <c r="I32" s="5"/>
      <c r="J32" s="5"/>
    </row>
    <row r="33" spans="1:10" ht="64" customHeight="1">
      <c r="A33" s="5"/>
      <c r="B33" s="5"/>
      <c r="C33" s="5"/>
      <c r="D33" s="5"/>
      <c r="E33" s="5"/>
      <c r="F33" s="5"/>
      <c r="G33" s="5"/>
      <c r="H33" s="5"/>
      <c r="I33" s="5"/>
      <c r="J33" s="5"/>
    </row>
    <row r="34" spans="1:10" ht="64" customHeight="1">
      <c r="A34" s="5"/>
      <c r="B34" s="5"/>
      <c r="C34" s="5"/>
      <c r="D34" s="5"/>
      <c r="E34" s="5"/>
      <c r="F34" s="5"/>
      <c r="G34" s="5"/>
      <c r="H34" s="5"/>
      <c r="I34" s="5"/>
      <c r="J34" s="5"/>
    </row>
    <row r="35" spans="1:10" ht="64" customHeight="1">
      <c r="A35" s="5"/>
      <c r="B35" s="5"/>
      <c r="C35" s="5"/>
      <c r="D35" s="5"/>
      <c r="E35" s="5"/>
      <c r="F35" s="5"/>
      <c r="G35" s="5"/>
      <c r="H35" s="5"/>
      <c r="I35" s="5"/>
      <c r="J35" s="5"/>
    </row>
    <row r="36" spans="1:10" ht="64" customHeight="1">
      <c r="A36" s="5"/>
      <c r="B36" s="5"/>
      <c r="C36" s="5"/>
      <c r="D36" s="5"/>
      <c r="E36" s="5"/>
      <c r="F36" s="5"/>
      <c r="G36" s="5"/>
      <c r="H36" s="5"/>
      <c r="I36" s="5"/>
      <c r="J36" s="5"/>
    </row>
  </sheetData>
  <mergeCells count="3">
    <mergeCell ref="A1:J2"/>
    <mergeCell ref="A3:J3"/>
    <mergeCell ref="A4:J4"/>
  </mergeCells>
  <dataValidations count="2">
    <dataValidation type="list" allowBlank="1" showInputMessage="1" showErrorMessage="1" sqref="C7:C36">
      <formula1>"Critical,High,Medium,Low"</formula1>
    </dataValidation>
    <dataValidation type="list" allowBlank="1" showInputMessage="1" showErrorMessage="1" sqref="D7:D36">
      <formula1>"Open,Investigating,Ready for retest,Closed,Accepted limitation"</formula1>
    </dataValidation>
  </dataValidations>
  <hyperlinks>
    <hyperlink ref="A5" location="'Overview'!B2" display="Overview"/>
  </hyperlinks>
  <pageMargins left="0.7" right="0.7" top="0.75" bottom="0.75" header="0.3" footer="0.3"/>
  <pageSetup paperSize="8" fitToHeight="0"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Overview</vt:lpstr>
      <vt:lpstr>Tonight</vt:lpstr>
      <vt:lpstr>Before 1.0</vt:lpstr>
      <vt:lpstr>Issues</vt:lpstr>
      <vt:lpstr>'Before 1.0'!Print_Area</vt:lpstr>
      <vt:lpstr>Issues!Print_Area</vt:lpstr>
      <vt:lpstr>Overview!Print_Area</vt:lpstr>
      <vt:lpstr>Tonight!Print_Area</vt:lpstr>
      <vt:lpstr>'Before 1.0'!Print_Titles</vt:lpstr>
      <vt:lpstr>Issues!Print_Titles</vt:lpstr>
      <vt:lpstr>Tonight!Print_Titles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ComfyUI Control — 1.0 Manual Test Plan</dc:title>
  <dc:subject>Real-installation release testing; no user tests have been marked as passed</dc:subject>
  <dc:creator>ComfyUI Control</dc:creator>
  <dc:description>Prepared for testing/nfs-output at 6bd3728; update the build when retesting.</dc:description>
  <cp:lastModifiedBy>ComfyUI Control</cp:lastModifiedBy>
  <dcterms:created xsi:type="dcterms:W3CDTF">2026-10-18T11:18:47Z</dcterms:created>
  <dcterms:modified xsi:type="dcterms:W3CDTF">2026-10-18T11:18:47Z</dcterms:modified>
</cp:coreProperties>
</file>